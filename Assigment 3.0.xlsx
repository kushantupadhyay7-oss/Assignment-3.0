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7939bffe1597e6/Desktop/"/>
    </mc:Choice>
  </mc:AlternateContent>
  <xr:revisionPtr revIDLastSave="0" documentId="8_{ADFAA1E7-6218-4A91-9443-9A6F18C83E70}" xr6:coauthVersionLast="47" xr6:coauthVersionMax="47" xr10:uidLastSave="{00000000-0000-0000-0000-000000000000}"/>
  <bookViews>
    <workbookView xWindow="-120" yWindow="-120" windowWidth="20730" windowHeight="11160" activeTab="4" xr2:uid="{274EA67A-F364-4075-8C0F-A8DD4E6CE5CC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5" l="1"/>
  <c r="E2" i="5"/>
  <c r="D2" i="5"/>
  <c r="D2" i="4"/>
  <c r="C2" i="4"/>
  <c r="E2" i="3"/>
  <c r="D2" i="3"/>
  <c r="C2" i="3"/>
  <c r="D2" i="2"/>
  <c r="C2" i="2"/>
  <c r="F2" i="1"/>
  <c r="E2" i="1"/>
  <c r="D2" i="1"/>
</calcChain>
</file>

<file path=xl/sharedStrings.xml><?xml version="1.0" encoding="utf-8"?>
<sst xmlns="http://schemas.openxmlformats.org/spreadsheetml/2006/main" count="39" uniqueCount="33">
  <si>
    <t>Daily steps</t>
  </si>
  <si>
    <t>day 1</t>
  </si>
  <si>
    <t>day 2</t>
  </si>
  <si>
    <t>day 3</t>
  </si>
  <si>
    <t>day 4</t>
  </si>
  <si>
    <t>day 5</t>
  </si>
  <si>
    <t>day 6</t>
  </si>
  <si>
    <t>day 7</t>
  </si>
  <si>
    <t>MAXIMUM</t>
  </si>
  <si>
    <t>MINIMUM</t>
  </si>
  <si>
    <t>RANGE</t>
  </si>
  <si>
    <t>Order Amount</t>
  </si>
  <si>
    <t>VARIANCE</t>
  </si>
  <si>
    <t>STD DEVIATION</t>
  </si>
  <si>
    <t>Monthly Data Usage</t>
  </si>
  <si>
    <t>MEAN</t>
  </si>
  <si>
    <t>CV</t>
  </si>
  <si>
    <t>Instagram Likes</t>
  </si>
  <si>
    <t>Day</t>
  </si>
  <si>
    <t>UPI Transaction Amount</t>
  </si>
  <si>
    <t>Monday</t>
  </si>
  <si>
    <t>Tuesday</t>
  </si>
  <si>
    <t>Wednesday</t>
  </si>
  <si>
    <t>Thursday</t>
  </si>
  <si>
    <t>Friday</t>
  </si>
  <si>
    <t>Saturday</t>
  </si>
  <si>
    <t>Sunday</t>
  </si>
  <si>
    <t>Extra Transaction</t>
  </si>
  <si>
    <r>
      <t>Task 1:</t>
    </r>
    <r>
      <rPr>
        <sz val="11"/>
        <color theme="1"/>
        <rFont val="Calibri"/>
        <family val="2"/>
        <scheme val="minor"/>
      </rPr>
      <t xml:space="preserve"> Calculated the mean and median of daily UPI transaction amounts and identified the better measure of typical spending</t>
    </r>
  </si>
  <si>
    <r>
      <t>Task 2:</t>
    </r>
    <r>
      <rPr>
        <sz val="11"/>
        <color theme="1"/>
        <rFont val="Calibri"/>
        <family val="2"/>
        <scheme val="minor"/>
      </rPr>
      <t xml:space="preserve"> Classified dataset columns into Nominal, Ordinal, Interval, and Ratio scales.</t>
    </r>
  </si>
  <si>
    <r>
      <t>Task 3:</t>
    </r>
    <r>
      <rPr>
        <sz val="11"/>
        <color theme="1"/>
        <rFont val="Calibri"/>
        <family val="2"/>
        <scheme val="minor"/>
      </rPr>
      <t xml:space="preserve"> Created a sample of 5 order amounts and compared the sample mean with the population mean.</t>
    </r>
  </si>
  <si>
    <r>
      <t>Task 4:</t>
    </r>
    <r>
      <rPr>
        <sz val="11"/>
        <color theme="1"/>
        <rFont val="Calibri"/>
        <family val="2"/>
        <scheme val="minor"/>
      </rPr>
      <t xml:space="preserve"> Explained the difference between population and sample using Zomato order data</t>
    </r>
  </si>
  <si>
    <r>
      <t>Task 5:</t>
    </r>
    <r>
      <rPr>
        <sz val="11"/>
        <color theme="1"/>
        <rFont val="Calibri"/>
        <family val="2"/>
        <scheme val="minor"/>
      </rPr>
      <t xml:space="preserve"> Calculated variance and standard deviation of UPI transaction amounts and interpreted spending stability.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</si>
</sst>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000"/>
    <numFmt numFmtId="168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7" fontId="0" fillId="0" borderId="0" xfId="0" applyNumberFormat="1"/>
    <xf numFmtId="168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908A-F722-4B36-9C30-1C381A2EB9E2}">
  <dimension ref="A1:F8"/>
  <sheetViews>
    <sheetView workbookViewId="0">
      <selection activeCell="D4" sqref="D4"/>
    </sheetView>
  </sheetViews>
  <sheetFormatPr defaultRowHeight="15" x14ac:dyDescent="0.25"/>
  <cols>
    <col min="1" max="1" width="10.5703125" bestFit="1" customWidth="1"/>
    <col min="4" max="4" width="11" bestFit="1" customWidth="1"/>
    <col min="5" max="5" width="10.5703125" bestFit="1" customWidth="1"/>
  </cols>
  <sheetData>
    <row r="1" spans="1:6" s="1" customFormat="1" x14ac:dyDescent="0.25">
      <c r="A1" s="1" t="s">
        <v>0</v>
      </c>
      <c r="D1" s="1" t="s">
        <v>8</v>
      </c>
      <c r="E1" s="1" t="s">
        <v>9</v>
      </c>
      <c r="F1" s="1" t="s">
        <v>10</v>
      </c>
    </row>
    <row r="2" spans="1:6" x14ac:dyDescent="0.25">
      <c r="A2" t="s">
        <v>1</v>
      </c>
      <c r="B2">
        <v>6500</v>
      </c>
      <c r="D2">
        <f>MAX(B2:B8)</f>
        <v>9000</v>
      </c>
      <c r="E2">
        <f>MIN(B2:B8)</f>
        <v>6000</v>
      </c>
      <c r="F2">
        <f>D2-E2</f>
        <v>3000</v>
      </c>
    </row>
    <row r="3" spans="1:6" x14ac:dyDescent="0.25">
      <c r="A3" t="s">
        <v>2</v>
      </c>
      <c r="B3">
        <v>7200</v>
      </c>
    </row>
    <row r="4" spans="1:6" x14ac:dyDescent="0.25">
      <c r="A4" t="s">
        <v>3</v>
      </c>
      <c r="B4">
        <v>8000</v>
      </c>
      <c r="D4" s="1" t="s">
        <v>28</v>
      </c>
    </row>
    <row r="5" spans="1:6" x14ac:dyDescent="0.25">
      <c r="A5" t="s">
        <v>4</v>
      </c>
      <c r="B5">
        <v>6000</v>
      </c>
    </row>
    <row r="6" spans="1:6" x14ac:dyDescent="0.25">
      <c r="A6" t="s">
        <v>5</v>
      </c>
      <c r="B6">
        <v>9000</v>
      </c>
    </row>
    <row r="7" spans="1:6" x14ac:dyDescent="0.25">
      <c r="A7" t="s">
        <v>6</v>
      </c>
      <c r="B7">
        <v>7500</v>
      </c>
    </row>
    <row r="8" spans="1:6" x14ac:dyDescent="0.25">
      <c r="A8" t="s">
        <v>7</v>
      </c>
      <c r="B8">
        <v>8200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7DF5A-5867-4C8C-88C7-091C38371B53}">
  <dimension ref="A1:D6"/>
  <sheetViews>
    <sheetView workbookViewId="0">
      <selection activeCell="C4" sqref="C4"/>
    </sheetView>
  </sheetViews>
  <sheetFormatPr defaultRowHeight="15" x14ac:dyDescent="0.25"/>
  <cols>
    <col min="1" max="1" width="13.85546875" bestFit="1" customWidth="1"/>
    <col min="3" max="3" width="10.140625" bestFit="1" customWidth="1"/>
    <col min="4" max="4" width="14.7109375" bestFit="1" customWidth="1"/>
  </cols>
  <sheetData>
    <row r="1" spans="1:4" s="1" customFormat="1" x14ac:dyDescent="0.25">
      <c r="A1" s="1" t="s">
        <v>11</v>
      </c>
      <c r="C1" s="1" t="s">
        <v>12</v>
      </c>
      <c r="D1" s="1" t="s">
        <v>13</v>
      </c>
    </row>
    <row r="2" spans="1:4" x14ac:dyDescent="0.25">
      <c r="A2">
        <v>250</v>
      </c>
      <c r="C2">
        <f>_xlfn.VAR.P(A2:A6)</f>
        <v>7400</v>
      </c>
      <c r="D2" s="4">
        <f>_xlfn.STDEV.P(A2:A6)</f>
        <v>86.023252670426274</v>
      </c>
    </row>
    <row r="3" spans="1:4" x14ac:dyDescent="0.25">
      <c r="A3">
        <v>400</v>
      </c>
    </row>
    <row r="4" spans="1:4" x14ac:dyDescent="0.25">
      <c r="A4">
        <v>350</v>
      </c>
      <c r="C4" s="1" t="s">
        <v>29</v>
      </c>
    </row>
    <row r="5" spans="1:4" x14ac:dyDescent="0.25">
      <c r="A5">
        <v>300</v>
      </c>
    </row>
    <row r="6" spans="1:4" x14ac:dyDescent="0.25">
      <c r="A6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C1BC2-EA68-481B-A229-CA1054F6AF9D}">
  <dimension ref="A1:E7"/>
  <sheetViews>
    <sheetView workbookViewId="0">
      <selection activeCell="C4" sqref="C4"/>
    </sheetView>
  </sheetViews>
  <sheetFormatPr defaultRowHeight="15" x14ac:dyDescent="0.25"/>
  <cols>
    <col min="1" max="1" width="19.140625" bestFit="1" customWidth="1"/>
    <col min="4" max="4" width="14.7109375" bestFit="1" customWidth="1"/>
  </cols>
  <sheetData>
    <row r="1" spans="1:5" s="1" customFormat="1" x14ac:dyDescent="0.25">
      <c r="A1" s="1" t="s">
        <v>14</v>
      </c>
      <c r="C1" s="1" t="s">
        <v>15</v>
      </c>
      <c r="D1" s="1" t="s">
        <v>13</v>
      </c>
      <c r="E1" s="1" t="s">
        <v>16</v>
      </c>
    </row>
    <row r="2" spans="1:5" x14ac:dyDescent="0.25">
      <c r="A2">
        <v>3.2</v>
      </c>
      <c r="C2" s="2">
        <f>AVERAGE(A2:A7)</f>
        <v>3.0833333333333335</v>
      </c>
      <c r="D2" s="3">
        <f>_xlfn.STDEV.P(A2:A7)</f>
        <v>0.22669117514559078</v>
      </c>
      <c r="E2" s="4">
        <f>D2/C2*100</f>
        <v>7.3521462209380788</v>
      </c>
    </row>
    <row r="3" spans="1:5" x14ac:dyDescent="0.25">
      <c r="A3">
        <v>2.8</v>
      </c>
    </row>
    <row r="4" spans="1:5" x14ac:dyDescent="0.25">
      <c r="A4">
        <v>3.5</v>
      </c>
      <c r="C4" s="1" t="s">
        <v>30</v>
      </c>
    </row>
    <row r="5" spans="1:5" x14ac:dyDescent="0.25">
      <c r="A5">
        <v>3</v>
      </c>
    </row>
    <row r="6" spans="1:5" x14ac:dyDescent="0.25">
      <c r="A6">
        <v>2.9</v>
      </c>
    </row>
    <row r="7" spans="1:5" x14ac:dyDescent="0.25">
      <c r="A7">
        <v>3.1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C42AF-2D43-483F-A17A-FC1D067397A4}">
  <dimension ref="A1:D11"/>
  <sheetViews>
    <sheetView workbookViewId="0">
      <selection activeCell="C4" sqref="C4"/>
    </sheetView>
  </sheetViews>
  <sheetFormatPr defaultRowHeight="15" x14ac:dyDescent="0.25"/>
  <cols>
    <col min="1" max="1" width="14.7109375" bestFit="1" customWidth="1"/>
    <col min="4" max="4" width="14.7109375" bestFit="1" customWidth="1"/>
  </cols>
  <sheetData>
    <row r="1" spans="1:4" s="1" customFormat="1" x14ac:dyDescent="0.25">
      <c r="A1" s="1" t="s">
        <v>17</v>
      </c>
      <c r="C1" s="1" t="s">
        <v>15</v>
      </c>
      <c r="D1" s="1" t="s">
        <v>13</v>
      </c>
    </row>
    <row r="2" spans="1:4" x14ac:dyDescent="0.25">
      <c r="A2">
        <v>120</v>
      </c>
      <c r="C2">
        <f>AVERAGE(A2:A11)</f>
        <v>139.5</v>
      </c>
      <c r="D2" s="4">
        <f>_xlfn.STDEV.P(A2:A11)</f>
        <v>18.090052515125542</v>
      </c>
    </row>
    <row r="3" spans="1:4" x14ac:dyDescent="0.25">
      <c r="A3">
        <v>150</v>
      </c>
    </row>
    <row r="4" spans="1:4" x14ac:dyDescent="0.25">
      <c r="A4">
        <v>130</v>
      </c>
      <c r="C4" s="1" t="s">
        <v>31</v>
      </c>
    </row>
    <row r="5" spans="1:4" x14ac:dyDescent="0.25">
      <c r="A5">
        <v>110</v>
      </c>
    </row>
    <row r="6" spans="1:4" x14ac:dyDescent="0.25">
      <c r="A6">
        <v>170</v>
      </c>
    </row>
    <row r="7" spans="1:4" x14ac:dyDescent="0.25">
      <c r="A7">
        <v>140</v>
      </c>
    </row>
    <row r="8" spans="1:4" x14ac:dyDescent="0.25">
      <c r="A8">
        <v>135</v>
      </c>
    </row>
    <row r="9" spans="1:4" x14ac:dyDescent="0.25">
      <c r="A9">
        <v>160</v>
      </c>
    </row>
    <row r="10" spans="1:4" x14ac:dyDescent="0.25">
      <c r="A10">
        <v>125</v>
      </c>
    </row>
    <row r="11" spans="1:4" x14ac:dyDescent="0.25">
      <c r="A11">
        <v>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9B66B-924F-4C0E-B8E8-BF01DB3D6668}">
  <dimension ref="A1:F9"/>
  <sheetViews>
    <sheetView tabSelected="1" workbookViewId="0">
      <selection activeCell="D4" sqref="D4"/>
    </sheetView>
  </sheetViews>
  <sheetFormatPr defaultRowHeight="15" x14ac:dyDescent="0.25"/>
  <cols>
    <col min="1" max="1" width="16.140625" bestFit="1" customWidth="1"/>
    <col min="2" max="2" width="22.7109375" bestFit="1" customWidth="1"/>
    <col min="5" max="5" width="10.140625" bestFit="1" customWidth="1"/>
    <col min="6" max="6" width="14.7109375" bestFit="1" customWidth="1"/>
  </cols>
  <sheetData>
    <row r="1" spans="1:6" s="1" customFormat="1" x14ac:dyDescent="0.25">
      <c r="A1" s="5" t="s">
        <v>18</v>
      </c>
      <c r="B1" s="6" t="s">
        <v>19</v>
      </c>
      <c r="D1" s="1" t="s">
        <v>15</v>
      </c>
      <c r="E1" s="1" t="s">
        <v>12</v>
      </c>
      <c r="F1" s="1" t="s">
        <v>13</v>
      </c>
    </row>
    <row r="2" spans="1:6" x14ac:dyDescent="0.25">
      <c r="A2" s="7" t="s">
        <v>20</v>
      </c>
      <c r="B2" s="8">
        <v>250</v>
      </c>
      <c r="D2">
        <f>AVERAGE(B2:B9)</f>
        <v>335</v>
      </c>
      <c r="E2">
        <f>_xlfn.VAR.P(B2:B9)</f>
        <v>3675</v>
      </c>
      <c r="F2" s="3">
        <f>_xlfn.STDEV.P(B2:B9)</f>
        <v>60.621778264910702</v>
      </c>
    </row>
    <row r="3" spans="1:6" x14ac:dyDescent="0.25">
      <c r="A3" s="7" t="s">
        <v>21</v>
      </c>
      <c r="B3" s="8">
        <v>320</v>
      </c>
    </row>
    <row r="4" spans="1:6" x14ac:dyDescent="0.25">
      <c r="A4" s="7" t="s">
        <v>22</v>
      </c>
      <c r="B4" s="8">
        <v>280</v>
      </c>
      <c r="D4" s="1" t="s">
        <v>32</v>
      </c>
    </row>
    <row r="5" spans="1:6" x14ac:dyDescent="0.25">
      <c r="A5" s="7" t="s">
        <v>23</v>
      </c>
      <c r="B5" s="8">
        <v>400</v>
      </c>
    </row>
    <row r="6" spans="1:6" x14ac:dyDescent="0.25">
      <c r="A6" s="7" t="s">
        <v>24</v>
      </c>
      <c r="B6" s="8">
        <v>350</v>
      </c>
    </row>
    <row r="7" spans="1:6" x14ac:dyDescent="0.25">
      <c r="A7" s="7" t="s">
        <v>25</v>
      </c>
      <c r="B7" s="8">
        <v>300</v>
      </c>
    </row>
    <row r="8" spans="1:6" x14ac:dyDescent="0.25">
      <c r="A8" s="7" t="s">
        <v>26</v>
      </c>
      <c r="B8" s="8">
        <v>450</v>
      </c>
    </row>
    <row r="9" spans="1:6" x14ac:dyDescent="0.25">
      <c r="A9" s="7" t="s">
        <v>27</v>
      </c>
      <c r="B9" s="8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NUPUR</dc:creator>
  <cp:lastModifiedBy>NUPUR</cp:lastModifiedBy>
  <dcterms:created xsi:type="dcterms:W3CDTF">2026-10-06T10:44:22Z</dcterms:created>
  <dcterms:modified xsi:type="dcterms:W3CDTF">2026-10-06T11:18:11Z</dcterms:modified>
</cp:coreProperties>
</file>